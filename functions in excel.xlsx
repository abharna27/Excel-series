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eries\"/>
    </mc:Choice>
  </mc:AlternateContent>
  <xr:revisionPtr revIDLastSave="0" documentId="8_{1C0BC25F-328E-49B9-8AA8-D59B6A00CA79}" xr6:coauthVersionLast="47" xr6:coauthVersionMax="47" xr10:uidLastSave="{00000000-0000-0000-0000-000000000000}"/>
  <bookViews>
    <workbookView xWindow="-110" yWindow="-110" windowWidth="19420" windowHeight="1150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9" l="1"/>
  <c r="Z2" i="9"/>
  <c r="D12" i="9"/>
  <c r="B13" i="9"/>
  <c r="G15" i="9"/>
  <c r="Y2" i="9" a="1"/>
  <c r="Y2" i="9" s="1"/>
  <c r="U2" i="9" a="1"/>
  <c r="U2" i="9" s="1"/>
  <c r="J4" i="9"/>
  <c r="A12" i="9"/>
  <c r="G13" i="9"/>
  <c r="G11" i="9"/>
  <c r="W2" i="9" a="1"/>
  <c r="W2" i="9" s="1"/>
  <c r="V2" i="9" a="1"/>
  <c r="V2" i="9" s="1"/>
  <c r="T3" i="9" a="1"/>
  <c r="T3" i="9" s="1"/>
  <c r="S2" i="9" a="1"/>
  <c r="S2" i="9" s="1"/>
  <c r="Q2" i="9" a="1"/>
  <c r="Q2" i="9" s="1"/>
  <c r="R2" i="9" a="1"/>
  <c r="R2" i="9" s="1"/>
  <c r="P2" i="9" a="1"/>
  <c r="P2" i="9" s="1"/>
  <c r="O2" i="9" a="1"/>
  <c r="O2" i="9" s="1"/>
  <c r="N2" i="9" a="1"/>
  <c r="N2" i="9" s="1"/>
  <c r="L2" i="9" a="1"/>
  <c r="L2" i="9" s="1"/>
  <c r="J2" i="9"/>
  <c r="J3" i="9"/>
  <c r="K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<sst xmlns="http://schemas.openxmlformats.org/spreadsheetml/2006/main" count="604" uniqueCount="108">
  <si>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</si>
  <si>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</si>
  <si>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</si>
  <si>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</si>
  <si>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</si>
  <si>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</si>
  <si>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</si>
  <si>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</si>
  <si>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</si>
  <si>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</si>
  <si>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</si>
  <si>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</si>
  <si>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</si>
  <si>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</si>
  <si>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</si>
  <si>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</si>
  <si>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</si>
  <si>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</si>
  <si>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</si>
  <si>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</si>
  <si>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</si>
  <si>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</si>
  <si>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</si>
  <si>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</si>
  <si>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</si>
  <si>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</si>
  <si>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</si>
  <si>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</si>
  <si>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</si>
  <si>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</si>
  <si>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</si>
  <si>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</si>
  <si>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</si>
  <si>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</si>
  <si>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</si>
  <si>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</si>
  <si>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</si>
  <si>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</si>
  <si>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</si>
  <si>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</si>
  <si>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</si>
  <si>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</si>
  <si>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</si>
  <si>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</si>
  <si>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</si>
  <si>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</si>
  <si>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</si>
  <si>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</si>
  <si>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</si>
  <si>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</si>
  <si>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</si>
  <si>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</si>
  <si>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</si>
  <si>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</si>
  <si>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</si>
  <si>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</si>
  <si>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</si>
  <si>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</si>
  <si>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</si>
  <si>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</si>
  <si>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</si>
  <si>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</si>
  <si>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</si>
  <si>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</si>
  <si>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</si>
  <si>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</si>
  <si>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</si>
  <si>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</si>
  <si>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</si>
  <si>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</si>
  <si>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</si>
  <si>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</si>
  <si>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</si>
  <si>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</si>
  <si>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</si>
  <si>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</si>
  <si>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</si>
  <si>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</si>
  <si>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</si>
  <si>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</si>
  <si>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</si>
  <si>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</si>
  <si>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</si>
  <si>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</si>
  <si>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</si>
  <si>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</si>
  <si>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</si>
  <si>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</si>
  <si>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If </t>
  </si>
  <si>
    <t>LEN(b2)</t>
  </si>
  <si>
    <t>left</t>
  </si>
  <si>
    <t>right</t>
  </si>
  <si>
    <t>text(h2,"dd/mm/yyyy)</t>
  </si>
  <si>
    <t>trim(c2)</t>
  </si>
  <si>
    <t>concatenate(b2,"",c2)</t>
  </si>
  <si>
    <t>with  no instances</t>
  </si>
  <si>
    <t xml:space="preserve">with 1 instance </t>
  </si>
  <si>
    <t xml:space="preserve">with 2 instance </t>
  </si>
  <si>
    <t>sumif</t>
  </si>
  <si>
    <t xml:space="preserve">sumif </t>
  </si>
  <si>
    <t>count</t>
  </si>
  <si>
    <t>days</t>
  </si>
  <si>
    <t xml:space="preserve">average </t>
  </si>
  <si>
    <t>proper</t>
  </si>
  <si>
    <t>stanley</t>
  </si>
  <si>
    <t>xor</t>
  </si>
  <si>
    <t>Rand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</si>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</sst>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Z17"/>
  <sheetViews>
    <sheetView tabSelected="1" topLeftCell="C1" zoomScale="53" workbookViewId="0">
      <selection activeCell="G18" sqref="G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9" max="19" width="13.6328125" customWidth="1"/>
    <col min="20" max="20" width="16.36328125" customWidth="1"/>
    <col min="21" max="21" width="20.36328125" customWidth="1"/>
    <col min="22" max="22" width="22.90625" customWidth="1"/>
    <col min="23" max="23" width="17.1796875" customWidth="1"/>
  </cols>
  <sheetData>
    <row r="1" spans="1:26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  <c r="L1" s="4" t="s">
        <v>88</v>
      </c>
      <c r="M1" s="4" t="s">
        <v>83</v>
      </c>
      <c r="N1" s="4" t="s">
        <v>89</v>
      </c>
      <c r="O1" s="4" t="s">
        <v>90</v>
      </c>
      <c r="P1" s="4" t="s">
        <v>91</v>
      </c>
      <c r="Q1" s="4" t="s">
        <v>91</v>
      </c>
      <c r="R1" s="4" t="s">
        <v>92</v>
      </c>
      <c r="S1" s="4" t="s">
        <v>93</v>
      </c>
      <c r="T1" s="4" t="s">
        <v>94</v>
      </c>
      <c r="U1" s="4" t="s">
        <v>95</v>
      </c>
      <c r="V1" s="4" t="s">
        <v>96</v>
      </c>
      <c r="W1" s="4" t="s">
        <v>97</v>
      </c>
      <c r="X1" s="4" t="s">
        <v>98</v>
      </c>
      <c r="Y1" s="4" t="s">
        <v>101</v>
      </c>
      <c r="Z1" s="4" t="s">
        <v>106</v>
      </c>
    </row>
    <row r="2" spans="1:26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MAX(G1:G10)</f>
        <v>65000</v>
      </c>
      <c r="K2" s="3">
        <f>MIN(G2:G10)</f>
        <v>36000</v>
      </c>
      <c r="L2" t="str" cm="1">
        <f t="array" ref="L2:L10">IF(D2:D10&gt;30,"old","young")</f>
        <v>young</v>
      </c>
      <c r="N2" cm="1">
        <f t="array" ref="N2:N10">LEN(C2:C10)</f>
        <v>7</v>
      </c>
      <c r="O2" t="str" cm="1">
        <f t="array" ref="O2:O10">LEFT(B2:B10,3)</f>
        <v>Jim</v>
      </c>
      <c r="P2" t="str" cm="1">
        <f t="array" ref="P2:P10">RIGHT(A2:A10,1)</f>
        <v>1</v>
      </c>
      <c r="Q2" t="str" cm="1">
        <f t="array" ref="Q2:Q10">RIGHT(I2:I10,4)</f>
        <v>2253</v>
      </c>
      <c r="R2" t="str" cm="1">
        <f t="array" ref="R2:R10">TEXT(H2:H10,"dd/mm/yyyy")</f>
        <v>02/11/2001</v>
      </c>
      <c r="S2" t="str" cm="1">
        <f t="array" ref="S2:S10">TRIM(C2:C10)</f>
        <v>Halpert</v>
      </c>
      <c r="U2" t="str" cm="1">
        <f t="array" ref="U2:U10">SUBSTITUTE(_xlfn.ANCHORARRAY(R2),"/","-")</f>
        <v>02-11-2001</v>
      </c>
      <c r="V2" t="str" cm="1">
        <f t="array" ref="V2:V10">SUBSTITUTE(_xlfn.ANCHORARRAY(R2),"/","-",1)</f>
        <v>02-11/2001</v>
      </c>
      <c r="W2" t="str" cm="1">
        <f t="array" ref="W2:W10">SUBSTITUTE(_xlfn.ANCHORARRAY(R2),"/","-",2)</f>
        <v>02/11-2001</v>
      </c>
      <c r="X2">
        <v>12800</v>
      </c>
      <c r="Y2" cm="1">
        <f t="array" ref="Y2:Y10">_xlfn.DAYS(I2:I10,H2:H10)</f>
        <v>5056</v>
      </c>
      <c r="Z2">
        <f ca="1">RAND()*10</f>
        <v>5.5747359640186689</v>
      </c>
    </row>
    <row r="3" spans="1:26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>
        <f>MIN(G2:G10)</f>
        <v>36000</v>
      </c>
      <c r="L3" t="str">
        <v>young</v>
      </c>
      <c r="N3">
        <v>7</v>
      </c>
      <c r="O3" t="str">
        <v>Pam</v>
      </c>
      <c r="P3" t="str">
        <v>2</v>
      </c>
      <c r="Q3" t="str">
        <v>2287</v>
      </c>
      <c r="R3" t="str">
        <v>03/10/1999</v>
      </c>
      <c r="S3" t="str">
        <v>Beasley</v>
      </c>
      <c r="T3" t="str" cm="1">
        <f t="array" ref="T3:T10">CONCATENATE(B3:B10,C3:C10)</f>
        <v>PamBeasley</v>
      </c>
      <c r="U3" t="str">
        <v>03-10-1999</v>
      </c>
      <c r="V3" t="str">
        <v>03-10/1999</v>
      </c>
      <c r="W3" t="str">
        <v>03/10-1999</v>
      </c>
      <c r="Y3">
        <v>5851</v>
      </c>
    </row>
    <row r="4" spans="1:26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MAX(G5,G3)</f>
        <v>47000</v>
      </c>
      <c r="L4" t="str">
        <v>young</v>
      </c>
      <c r="N4">
        <v>7</v>
      </c>
      <c r="O4" t="str">
        <v>Dwi</v>
      </c>
      <c r="P4" t="str">
        <v>3</v>
      </c>
      <c r="Q4" t="str">
        <v>2986</v>
      </c>
      <c r="R4" t="str">
        <v>04/07/2000</v>
      </c>
      <c r="S4" t="str">
        <v>Schrute</v>
      </c>
      <c r="T4" t="str">
        <v>DwightSchrute</v>
      </c>
      <c r="U4" t="str">
        <v>04-07-2000</v>
      </c>
      <c r="V4" t="str">
        <v>04-07/2000</v>
      </c>
      <c r="W4" t="str">
        <v>04/07-2000</v>
      </c>
      <c r="Y4">
        <v>6275</v>
      </c>
    </row>
    <row r="5" spans="1:26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L5" t="str">
        <v>old</v>
      </c>
      <c r="N5">
        <v>6</v>
      </c>
      <c r="O5" t="str">
        <v>Ang</v>
      </c>
      <c r="P5" t="str">
        <v>4</v>
      </c>
      <c r="Q5" t="str">
        <v>2341</v>
      </c>
      <c r="R5" t="str">
        <v>05/01/2000</v>
      </c>
      <c r="S5" t="str">
        <v>Martin</v>
      </c>
      <c r="T5" t="str">
        <v>AngelaMartin</v>
      </c>
      <c r="U5" t="str">
        <v>05-01-2000</v>
      </c>
      <c r="V5" t="str">
        <v>05-01/2000</v>
      </c>
      <c r="W5" t="str">
        <v>05/01-2000</v>
      </c>
      <c r="Y5">
        <v>5811</v>
      </c>
    </row>
    <row r="6" spans="1:26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L6" t="str">
        <v>old</v>
      </c>
      <c r="N6">
        <v>10</v>
      </c>
      <c r="O6" t="str">
        <v>Tob</v>
      </c>
      <c r="P6" t="str">
        <v>5</v>
      </c>
      <c r="Q6" t="str">
        <v>2977</v>
      </c>
      <c r="R6" t="str">
        <v>06/05/2001</v>
      </c>
      <c r="S6" t="str">
        <v>Flenderson</v>
      </c>
      <c r="T6" t="str">
        <v>TobyFlenderson</v>
      </c>
      <c r="U6" t="str">
        <v>06-05-2001</v>
      </c>
      <c r="V6" t="str">
        <v>06-05/2001</v>
      </c>
      <c r="W6" t="str">
        <v>06/05-2001</v>
      </c>
      <c r="Y6">
        <v>5960</v>
      </c>
    </row>
    <row r="7" spans="1:26" x14ac:dyDescent="0.35">
      <c r="A7">
        <v>1006</v>
      </c>
      <c r="B7" t="s">
        <v>8</v>
      </c>
      <c r="C7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L7" t="str">
        <v>old</v>
      </c>
      <c r="N7">
        <v>8</v>
      </c>
      <c r="O7" t="str">
        <v>Mic</v>
      </c>
      <c r="P7" t="str">
        <v>6</v>
      </c>
      <c r="Q7" t="str">
        <v>1528</v>
      </c>
      <c r="R7" t="str">
        <v>07/12/1995</v>
      </c>
      <c r="S7" t="str">
        <v>Scott</v>
      </c>
      <c r="T7" t="str">
        <v>Michael   Scott</v>
      </c>
      <c r="U7" t="str">
        <v>07-12-1995</v>
      </c>
      <c r="V7" t="str">
        <v>07-12/1995</v>
      </c>
      <c r="W7" t="str">
        <v>07/12-1995</v>
      </c>
      <c r="Y7">
        <v>6488</v>
      </c>
    </row>
    <row r="8" spans="1:26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L8" t="str">
        <v>old</v>
      </c>
      <c r="N8">
        <v>6</v>
      </c>
      <c r="O8" t="str">
        <v>Mer</v>
      </c>
      <c r="P8" t="str">
        <v>7</v>
      </c>
      <c r="Q8" t="str">
        <v>1551</v>
      </c>
      <c r="R8" t="str">
        <v>08/11/2003</v>
      </c>
      <c r="S8" t="str">
        <v>Palmer</v>
      </c>
      <c r="T8" t="str">
        <v>MeredithPalmer</v>
      </c>
      <c r="U8" t="str">
        <v>08-11-2003</v>
      </c>
      <c r="V8" t="str">
        <v>08-11/2003</v>
      </c>
      <c r="W8" t="str">
        <v>08/11-2003</v>
      </c>
      <c r="Y8">
        <v>3618</v>
      </c>
    </row>
    <row r="9" spans="1:26" x14ac:dyDescent="0.35">
      <c r="A9">
        <v>1008</v>
      </c>
      <c r="B9" t="s">
        <v>104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L9" t="str">
        <v>old</v>
      </c>
      <c r="N9">
        <v>6</v>
      </c>
      <c r="O9" t="str">
        <v>sta</v>
      </c>
      <c r="P9" t="str">
        <v>8</v>
      </c>
      <c r="Q9" t="str">
        <v>2116</v>
      </c>
      <c r="R9" t="str">
        <v>09/06/2002</v>
      </c>
      <c r="S9" t="str">
        <v>Hudson</v>
      </c>
      <c r="T9" t="str">
        <v>stanleyHudson</v>
      </c>
      <c r="U9" t="str">
        <v>09-06-2002</v>
      </c>
      <c r="V9" t="str">
        <v>09-06/2002</v>
      </c>
      <c r="W9" t="str">
        <v>09/06-2002</v>
      </c>
      <c r="Y9">
        <v>4700</v>
      </c>
    </row>
    <row r="10" spans="1:26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L10" t="str">
        <v>old</v>
      </c>
      <c r="N10">
        <v>6</v>
      </c>
      <c r="O10" t="str">
        <v>Kev</v>
      </c>
      <c r="P10" t="str">
        <v>9</v>
      </c>
      <c r="Q10" t="str">
        <v>0800</v>
      </c>
      <c r="R10" t="str">
        <v>10/08/2003</v>
      </c>
      <c r="S10" t="str">
        <v>Malone</v>
      </c>
      <c r="T10" t="str">
        <v>KevinMalone</v>
      </c>
      <c r="U10" t="str">
        <v>10-08-2003</v>
      </c>
      <c r="V10" t="str">
        <v>10-08/2003</v>
      </c>
      <c r="W10" t="str">
        <v>10/08-2003</v>
      </c>
      <c r="Y10">
        <v>2957</v>
      </c>
    </row>
    <row r="11" spans="1:26" x14ac:dyDescent="0.35">
      <c r="A11" t="s">
        <v>100</v>
      </c>
      <c r="D11" t="s">
        <v>105</v>
      </c>
      <c r="G11">
        <f>SUM(G2:G10)</f>
        <v>437000</v>
      </c>
    </row>
    <row r="12" spans="1:26" x14ac:dyDescent="0.35">
      <c r="A12">
        <f>COUNT(A2:A10)</f>
        <v>9</v>
      </c>
      <c r="B12" t="s">
        <v>103</v>
      </c>
      <c r="D12" t="b">
        <f>_xlfn.XOR("fire",D5&gt;30)</f>
        <v>1</v>
      </c>
      <c r="G12" t="s">
        <v>99</v>
      </c>
    </row>
    <row r="13" spans="1:26" x14ac:dyDescent="0.35">
      <c r="B13" t="str">
        <f>PROPER(B9)</f>
        <v>Stanley</v>
      </c>
      <c r="G13">
        <f>SUMIF(G2:G10,"&gt;50000")</f>
        <v>128000</v>
      </c>
    </row>
    <row r="14" spans="1:26" x14ac:dyDescent="0.35">
      <c r="G14" t="s">
        <v>102</v>
      </c>
    </row>
    <row r="15" spans="1:26" x14ac:dyDescent="0.35">
      <c r="G15">
        <f>AVERAGE(G2:G10)</f>
        <v>48555.555555555555</v>
      </c>
    </row>
    <row r="16" spans="1:26" x14ac:dyDescent="0.35">
      <c r="G16" t="s">
        <v>107</v>
      </c>
    </row>
    <row r="17" spans="7:7" x14ac:dyDescent="0.35">
      <c r="G17">
        <f>_xlfn.MODE.SNGL(C2:I10)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F19" sqref="F19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15" sqref="G15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H19" sqref="H19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E24" sqref="E2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5">
      <c r="H11" t="str">
        <f t="shared" ref="H11:H12" si="0">CONCATENATE(B11," ",C11)</f>
        <v xml:space="preserve"> </v>
      </c>
    </row>
    <row r="12" spans="1:10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abharnamishra@gmail.com</cp:lastModifiedBy>
  <dcterms:created xsi:type="dcterms:W3CDTF">2021-12-16T14:18:34Z</dcterms:created>
  <dcterms:modified xsi:type="dcterms:W3CDTF">2026-07-10T08:13:52Z</dcterms:modified>
</cp:coreProperties>
</file>